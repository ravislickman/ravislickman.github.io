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slickman/Documents/"/>
    </mc:Choice>
  </mc:AlternateContent>
  <xr:revisionPtr revIDLastSave="0" documentId="8_{18D047AE-EB5A-174A-8596-620E70223FD5}" xr6:coauthVersionLast="47" xr6:coauthVersionMax="47" xr10:uidLastSave="{00000000-0000-0000-0000-000000000000}"/>
  <bookViews>
    <workbookView xWindow="0" yWindow="760" windowWidth="30240" windowHeight="17680" xr2:uid="{603C27D9-EA4F-4A51-89AD-BF44C7BE0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24" i="1"/>
  <c r="B24" i="1"/>
  <c r="D13" i="1"/>
  <c r="C13" i="1"/>
  <c r="B13" i="1"/>
</calcChain>
</file>

<file path=xl/sharedStrings.xml><?xml version="1.0" encoding="utf-8"?>
<sst xmlns="http://schemas.openxmlformats.org/spreadsheetml/2006/main" count="27" uniqueCount="27">
  <si>
    <t>Total</t>
  </si>
  <si>
    <t>FY 2025 Revenue Estimate</t>
  </si>
  <si>
    <t>FY 2024 Revenue Actuals</t>
  </si>
  <si>
    <t>FY 2026 Revenue Request</t>
  </si>
  <si>
    <t>Examination Fees</t>
  </si>
  <si>
    <t>Other Fees &amp; Charges for Services</t>
  </si>
  <si>
    <t>Publications &amp; Reproductions</t>
  </si>
  <si>
    <t>Occupational &amp; Professional Licenses</t>
  </si>
  <si>
    <t>Other Licenses</t>
  </si>
  <si>
    <t>Restitution</t>
  </si>
  <si>
    <t>Credit Card Fees Paid</t>
  </si>
  <si>
    <t>Credit Card Fee Revenue</t>
  </si>
  <si>
    <t>Miscellaneous Receipts</t>
  </si>
  <si>
    <t>Personal Services</t>
  </si>
  <si>
    <t>Employee Related Expenditures</t>
  </si>
  <si>
    <t>Professional &amp; Outside Services</t>
  </si>
  <si>
    <t>Travel In-State</t>
  </si>
  <si>
    <t>Travel Out-Of-State</t>
  </si>
  <si>
    <t>Other Operating Expenditures</t>
  </si>
  <si>
    <t>Capital Equipment</t>
  </si>
  <si>
    <t>Non-Capital Equipment</t>
  </si>
  <si>
    <t>Appropriated Expenditure Sub-Total:</t>
  </si>
  <si>
    <t>FY 2024 Expenses Actual</t>
  </si>
  <si>
    <t>FY 2025 Expenses Estimate</t>
  </si>
  <si>
    <t>FY 2026 Expenses Request</t>
  </si>
  <si>
    <t>Expenditure Categories</t>
  </si>
  <si>
    <t>Revenue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</si>
</sst>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06725007110312E-2"/>
          <c:y val="0.11191601049868767"/>
          <c:w val="0.92624151592092396"/>
          <c:h val="0.75424935519423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FY 2024 Revenue Actuals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Sheet1!$A$4:$A$13</c:f>
              <c:strCache>
                <c:ptCount val="10"/>
                <c:pt idx="0">
                  <c:v>Examination Fees</c:v>
                </c:pt>
                <c:pt idx="1">
                  <c:v>Other Fees &amp; Charges for Services</c:v>
                </c:pt>
                <c:pt idx="2">
                  <c:v>Publications &amp; Reproductions</c:v>
                </c:pt>
                <c:pt idx="3">
                  <c:v>Occupational &amp; Professional Licenses</c:v>
                </c:pt>
                <c:pt idx="4">
                  <c:v>Other Licenses</c:v>
                </c:pt>
                <c:pt idx="5">
                  <c:v>Restitution</c:v>
                </c:pt>
                <c:pt idx="6">
                  <c:v>Credit Card Fees Paid</c:v>
                </c:pt>
                <c:pt idx="7">
                  <c:v>Credit Card Fee Revenue</c:v>
                </c:pt>
                <c:pt idx="8">
                  <c:v>Miscellaneous Receipts</c:v>
                </c:pt>
                <c:pt idx="9">
                  <c:v>Total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1</c:v>
                </c:pt>
                <c:pt idx="1">
                  <c:v>23.3</c:v>
                </c:pt>
                <c:pt idx="2">
                  <c:v>3.2</c:v>
                </c:pt>
                <c:pt idx="3">
                  <c:v>802.2</c:v>
                </c:pt>
                <c:pt idx="4">
                  <c:v>39.9</c:v>
                </c:pt>
                <c:pt idx="5">
                  <c:v>2.9</c:v>
                </c:pt>
                <c:pt idx="6">
                  <c:v>-18</c:v>
                </c:pt>
                <c:pt idx="7">
                  <c:v>21</c:v>
                </c:pt>
                <c:pt idx="8">
                  <c:v>-9</c:v>
                </c:pt>
                <c:pt idx="9">
                  <c:v>866.5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0-4945-ABBE-FFBB5483E57E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FY 2025 Revenue Estimate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Sheet1!$A$4:$A$13</c:f>
              <c:strCache>
                <c:ptCount val="10"/>
                <c:pt idx="0">
                  <c:v>Examination Fees</c:v>
                </c:pt>
                <c:pt idx="1">
                  <c:v>Other Fees &amp; Charges for Services</c:v>
                </c:pt>
                <c:pt idx="2">
                  <c:v>Publications &amp; Reproductions</c:v>
                </c:pt>
                <c:pt idx="3">
                  <c:v>Occupational &amp; Professional Licenses</c:v>
                </c:pt>
                <c:pt idx="4">
                  <c:v>Other Licenses</c:v>
                </c:pt>
                <c:pt idx="5">
                  <c:v>Restitution</c:v>
                </c:pt>
                <c:pt idx="6">
                  <c:v>Credit Card Fees Paid</c:v>
                </c:pt>
                <c:pt idx="7">
                  <c:v>Credit Card Fee Revenue</c:v>
                </c:pt>
                <c:pt idx="8">
                  <c:v>Miscellaneous Receipts</c:v>
                </c:pt>
                <c:pt idx="9">
                  <c:v>Total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0.9</c:v>
                </c:pt>
                <c:pt idx="1">
                  <c:v>24.5</c:v>
                </c:pt>
                <c:pt idx="2">
                  <c:v>3.4</c:v>
                </c:pt>
                <c:pt idx="3">
                  <c:v>352.5</c:v>
                </c:pt>
                <c:pt idx="4">
                  <c:v>41.9</c:v>
                </c:pt>
                <c:pt idx="5">
                  <c:v>3.1</c:v>
                </c:pt>
                <c:pt idx="6">
                  <c:v>-18.899999999999999</c:v>
                </c:pt>
                <c:pt idx="7">
                  <c:v>22.1</c:v>
                </c:pt>
                <c:pt idx="8">
                  <c:v>0</c:v>
                </c:pt>
                <c:pt idx="9">
                  <c:v>429.50000000000006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0-4945-ABBE-FFBB5483E57E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FY 2026 Revenue Request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Sheet1!$A$4:$A$13</c:f>
              <c:strCache>
                <c:ptCount val="10"/>
                <c:pt idx="0">
                  <c:v>Examination Fees</c:v>
                </c:pt>
                <c:pt idx="1">
                  <c:v>Other Fees &amp; Charges for Services</c:v>
                </c:pt>
                <c:pt idx="2">
                  <c:v>Publications &amp; Reproductions</c:v>
                </c:pt>
                <c:pt idx="3">
                  <c:v>Occupational &amp; Professional Licenses</c:v>
                </c:pt>
                <c:pt idx="4">
                  <c:v>Other Licenses</c:v>
                </c:pt>
                <c:pt idx="5">
                  <c:v>Restitution</c:v>
                </c:pt>
                <c:pt idx="6">
                  <c:v>Credit Card Fees Paid</c:v>
                </c:pt>
                <c:pt idx="7">
                  <c:v>Credit Card Fee Revenue</c:v>
                </c:pt>
                <c:pt idx="8">
                  <c:v>Miscellaneous Receipts</c:v>
                </c:pt>
                <c:pt idx="9">
                  <c:v>Total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0.9</c:v>
                </c:pt>
                <c:pt idx="1">
                  <c:v>25.7</c:v>
                </c:pt>
                <c:pt idx="2">
                  <c:v>3.6</c:v>
                </c:pt>
                <c:pt idx="3">
                  <c:v>606.20000000000005</c:v>
                </c:pt>
                <c:pt idx="4">
                  <c:v>44</c:v>
                </c:pt>
                <c:pt idx="5">
                  <c:v>3.2</c:v>
                </c:pt>
                <c:pt idx="6">
                  <c:v>-19.8</c:v>
                </c:pt>
                <c:pt idx="7">
                  <c:v>23.2</c:v>
                </c:pt>
                <c:pt idx="8">
                  <c:v>0</c:v>
                </c:pt>
                <c:pt idx="9">
                  <c:v>687.00000000000023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0-4945-ABBE-FFBB5483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229008"/>
        <c:axId val="320024128"/>
      </c:barChart>
      <c:catAx>
        <c:axId val="3662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4128"/>
        <c:crosses val="autoZero"/>
        <c:auto val="1"/>
        <c:lblAlgn val="ctr"/>
        <c:lblOffset val="100"/>
        <c:noMultiLvlLbl val="0"/>
      </c:catAx>
      <c:valAx>
        <c:axId val="320024128"/>
        <c:scaling>
          <c:orientation val="minMax"/>
          <c:max val="9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2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210606193053605"/>
          <c:y val="6.7758206524762457E-2"/>
          <c:w val="0.5259633069801567"/>
          <c:h val="4.3352904586348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873003295971654E-2"/>
          <c:y val="0.12441088503793261"/>
          <c:w val="0.94615075631269363"/>
          <c:h val="0.711082756587892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FY 2024 Expenses 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Sheet1!$A$16:$A$24</c:f>
              <c:strCache>
                <c:ptCount val="9"/>
                <c:pt idx="0">
                  <c:v>Personal Services</c:v>
                </c:pt>
                <c:pt idx="1">
                  <c:v>Employee Related Expenditures</c:v>
                </c:pt>
                <c:pt idx="2">
                  <c:v>Professional &amp; Outside Services</c:v>
                </c:pt>
                <c:pt idx="3">
                  <c:v>Travel In-State</c:v>
                </c:pt>
                <c:pt idx="4">
                  <c:v>Travel Out-Of-State</c:v>
                </c:pt>
                <c:pt idx="5">
                  <c:v>Other Operating Expenditures</c:v>
                </c:pt>
                <c:pt idx="6">
                  <c:v>Capital Equipment</c:v>
                </c:pt>
                <c:pt idx="7">
                  <c:v>Non-Capital Equipment</c:v>
                </c:pt>
                <c:pt idx="8">
                  <c:v>Appropriated Expenditure Sub-Total:</c:v>
                </c:pt>
              </c:strCache>
            </c:strRef>
          </c:cat>
          <c:val>
            <c:numRef>
              <c:f>Sheet1!$B$16:$B$24</c:f>
              <c:numCache>
                <c:formatCode>General</c:formatCode>
                <c:ptCount val="9"/>
                <c:pt idx="0">
                  <c:v>269.8</c:v>
                </c:pt>
                <c:pt idx="1">
                  <c:v>114.7</c:v>
                </c:pt>
                <c:pt idx="2">
                  <c:v>47.1</c:v>
                </c:pt>
                <c:pt idx="3">
                  <c:v>1</c:v>
                </c:pt>
                <c:pt idx="4">
                  <c:v>1.4</c:v>
                </c:pt>
                <c:pt idx="5">
                  <c:v>98.6</c:v>
                </c:pt>
                <c:pt idx="6">
                  <c:v>0.2</c:v>
                </c:pt>
                <c:pt idx="7">
                  <c:v>5.5</c:v>
                </c:pt>
                <c:pt idx="8">
                  <c:v>538.30000000000007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5-4ABF-AE8B-F4993255A3FE}"/>
            </c:ext>
          </c:extLst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FY 2025 Expenses Estimate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928721174004325E-3"/>
                  <c:y val="-6.149473920837254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95-4ABF-AE8B-F4993255A3FE}"/>
                </c:ext>
              </c:extLst>
            </c:dLbl>
            <c:dLbl>
              <c:idx val="1"/>
              <c:layout>
                <c:manualLayout>
                  <c:x val="-4.192872117400444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95-4ABF-AE8B-F4993255A3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Sheet1!$A$16:$A$24</c:f>
              <c:strCache>
                <c:ptCount val="9"/>
                <c:pt idx="0">
                  <c:v>Personal Services</c:v>
                </c:pt>
                <c:pt idx="1">
                  <c:v>Employee Related Expenditures</c:v>
                </c:pt>
                <c:pt idx="2">
                  <c:v>Professional &amp; Outside Services</c:v>
                </c:pt>
                <c:pt idx="3">
                  <c:v>Travel In-State</c:v>
                </c:pt>
                <c:pt idx="4">
                  <c:v>Travel Out-Of-State</c:v>
                </c:pt>
                <c:pt idx="5">
                  <c:v>Other Operating Expenditures</c:v>
                </c:pt>
                <c:pt idx="6">
                  <c:v>Capital Equipment</c:v>
                </c:pt>
                <c:pt idx="7">
                  <c:v>Non-Capital Equipment</c:v>
                </c:pt>
                <c:pt idx="8">
                  <c:v>Appropriated Expenditure Sub-Total:</c:v>
                </c:pt>
              </c:strCache>
            </c:strRef>
          </c:cat>
          <c:val>
            <c:numRef>
              <c:f>Sheet1!$C$16:$C$24</c:f>
              <c:numCache>
                <c:formatCode>General</c:formatCode>
                <c:ptCount val="9"/>
                <c:pt idx="0">
                  <c:v>349.5</c:v>
                </c:pt>
                <c:pt idx="1">
                  <c:v>152.30000000000001</c:v>
                </c:pt>
                <c:pt idx="2">
                  <c:v>33</c:v>
                </c:pt>
                <c:pt idx="3">
                  <c:v>2.8</c:v>
                </c:pt>
                <c:pt idx="4">
                  <c:v>12</c:v>
                </c:pt>
                <c:pt idx="5">
                  <c:v>86.1</c:v>
                </c:pt>
                <c:pt idx="6">
                  <c:v>0</c:v>
                </c:pt>
                <c:pt idx="7">
                  <c:v>8</c:v>
                </c:pt>
                <c:pt idx="8">
                  <c:v>643.69999999999993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5-4ABF-AE8B-F4993255A3FE}"/>
            </c:ext>
          </c:extLst>
        </c:ser>
        <c:ser>
          <c:idx val="2"/>
          <c:order val="2"/>
          <c:tx>
            <c:strRef>
              <c:f>Sheet1!$D$15</c:f>
              <c:strCache>
                <c:ptCount val="1"/>
                <c:pt idx="0">
                  <c:v>FY 2026 Expenses Request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Sheet1!$A$16:$A$24</c:f>
              <c:strCache>
                <c:ptCount val="9"/>
                <c:pt idx="0">
                  <c:v>Personal Services</c:v>
                </c:pt>
                <c:pt idx="1">
                  <c:v>Employee Related Expenditures</c:v>
                </c:pt>
                <c:pt idx="2">
                  <c:v>Professional &amp; Outside Services</c:v>
                </c:pt>
                <c:pt idx="3">
                  <c:v>Travel In-State</c:v>
                </c:pt>
                <c:pt idx="4">
                  <c:v>Travel Out-Of-State</c:v>
                </c:pt>
                <c:pt idx="5">
                  <c:v>Other Operating Expenditures</c:v>
                </c:pt>
                <c:pt idx="6">
                  <c:v>Capital Equipment</c:v>
                </c:pt>
                <c:pt idx="7">
                  <c:v>Non-Capital Equipment</c:v>
                </c:pt>
                <c:pt idx="8">
                  <c:v>Appropriated Expenditure Sub-Total:</c:v>
                </c:pt>
              </c:strCache>
            </c:strRef>
          </c:cat>
          <c:val>
            <c:numRef>
              <c:f>Sheet1!$D$16:$D$24</c:f>
              <c:numCache>
                <c:formatCode>General</c:formatCode>
                <c:ptCount val="9"/>
                <c:pt idx="0">
                  <c:v>349.5</c:v>
                </c:pt>
                <c:pt idx="1">
                  <c:v>152.30000000000001</c:v>
                </c:pt>
                <c:pt idx="2">
                  <c:v>83.8</c:v>
                </c:pt>
                <c:pt idx="3">
                  <c:v>2.8</c:v>
                </c:pt>
                <c:pt idx="4">
                  <c:v>12</c:v>
                </c:pt>
                <c:pt idx="5">
                  <c:v>86.1</c:v>
                </c:pt>
                <c:pt idx="6">
                  <c:v>0</c:v>
                </c:pt>
                <c:pt idx="7">
                  <c:v>8</c:v>
                </c:pt>
                <c:pt idx="8">
                  <c:v>694.5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95-4ABF-AE8B-F4993255A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028048"/>
        <c:axId val="992864720"/>
      </c:barChart>
      <c:catAx>
        <c:axId val="2280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64720"/>
        <c:crosses val="autoZero"/>
        <c:auto val="1"/>
        <c:lblAlgn val="ctr"/>
        <c:lblOffset val="100"/>
        <c:noMultiLvlLbl val="0"/>
      </c:catAx>
      <c:valAx>
        <c:axId val="992864720"/>
        <c:scaling>
          <c:orientation val="minMax"/>
          <c:max val="7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671360262357142"/>
          <c:y val="9.4758633221593766E-2"/>
          <c:w val="0.52743921160798302"/>
          <c:h val="5.6604162286711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146049</xdr:colOff>
      <xdr:row>4</xdr:row>
      <xdr:rowOff>63499</xdr:rowOff>
    </xdr:from>
    <xdr:to>
      <xdr:col>20</xdr:col>
      <xdr:colOff>50800</xdr:colOff>
      <xdr:row>30</xdr:row>
      <xdr:rowOff>53974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58255-B3E2-EB55-3CF1-C4646C2AA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30</xdr:row>
      <xdr:rowOff>176212</xdr:rowOff>
    </xdr:from>
    <xdr:to>
      <xdr:col>20</xdr:col>
      <xdr:colOff>514350</xdr:colOff>
      <xdr:row>50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EB2B15-6044-437B-62FB-B714FF61F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31D44-C5E6-46BF-B6EC-4306B003DCF5}" name="Table1" displayName="Table1" ref="B3:D12" totalsRowShown="0">
  <autoFilter ref="B3:D12" xr:uid="{B6E31D44-C5E6-46BF-B6EC-4306B003DCF5}"/>
  <tableColumns count="3">
    <tableColumn id="1" xr3:uid="{1FCED46F-BC4A-40E5-A743-830A25D6EFBE}" name="FY 2024 Revenue Actuals"/>
    <tableColumn id="2" xr3:uid="{D548775C-A7AB-4C03-9D37-640481B77929}" name="FY 2025 Revenue Estimate"/>
    <tableColumn id="3" xr3:uid="{30158D6F-8955-4C1C-A5F4-F810E5DC5C4C}" name="FY 2026 Revenue Reque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FCF292-C406-492E-99B9-8A678CE11DA3}" name="Table2" displayName="Table2" ref="A3:A13" totalsRowShown="0">
  <autoFilter ref="A3:A13" xr:uid="{97FCF292-C406-492E-99B9-8A678CE11DA3}"/>
  <tableColumns count="1">
    <tableColumn id="1" xr3:uid="{254ED385-C458-46FF-A3A4-19E3C159CB10}" name="Revenue Categor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A62F18-B021-48A3-8B07-BB939B6B0EE9}" name="Table3" displayName="Table3" ref="A15:D24" totalsRowShown="0">
  <autoFilter ref="A15:D24" xr:uid="{90A62F18-B021-48A3-8B07-BB939B6B0EE9}"/>
  <tableColumns count="4">
    <tableColumn id="1" xr3:uid="{29784F2F-4B62-4BB5-807D-2819E6BC2448}" name="Expenditure Categories"/>
    <tableColumn id="2" xr3:uid="{70777E0C-86E5-43CF-B454-2867D05C7CBA}" name="FY 2024 Expenses Actual"/>
    <tableColumn id="3" xr3:uid="{0A919095-2AC6-4FFA-96B0-089E23048F17}" name="FY 2025 Expenses Estimate"/>
    <tableColumn id="4" xr3:uid="{D464BF64-FD42-4023-88AF-CCF038D86A9B}" name="FY 2026 Expenses Reques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70C3-33E8-4D33-9F4C-65846868844B}">
  <dimension ref="A3:D24"/>
  <sheetViews>
    <sheetView tabSelected="1" workbookViewId="0">
      <selection activeCell="C36" sqref="C36"/>
    </sheetView>
  </sheetViews>
  <sheetFormatPr baseColWidth="10" defaultColWidth="8.83203125" defaultRowHeight="15" x14ac:dyDescent="0.2"/>
  <cols>
    <col min="1" max="1" width="34.5" bestFit="1" customWidth="1"/>
    <col min="2" max="2" width="24.83203125" customWidth="1"/>
    <col min="3" max="3" width="26.5" customWidth="1"/>
    <col min="4" max="4" width="26.1640625" customWidth="1"/>
  </cols>
  <sheetData>
    <row r="3" spans="1:4" x14ac:dyDescent="0.2">
      <c r="A3" t="s">
        <v>26</v>
      </c>
      <c r="B3" t="s">
        <v>2</v>
      </c>
      <c r="C3" t="s">
        <v>1</v>
      </c>
      <c r="D3" t="s">
        <v>3</v>
      </c>
    </row>
    <row r="4" spans="1:4" x14ac:dyDescent="0.2">
      <c r="A4" t="s">
        <v>4</v>
      </c>
      <c r="B4">
        <v>1</v>
      </c>
      <c r="C4">
        <v>0.9</v>
      </c>
      <c r="D4">
        <v>0.9</v>
      </c>
    </row>
    <row r="5" spans="1:4" x14ac:dyDescent="0.2">
      <c r="A5" t="s">
        <v>5</v>
      </c>
      <c r="B5">
        <v>23.3</v>
      </c>
      <c r="C5">
        <v>24.5</v>
      </c>
      <c r="D5">
        <v>25.7</v>
      </c>
    </row>
    <row r="6" spans="1:4" x14ac:dyDescent="0.2">
      <c r="A6" t="s">
        <v>6</v>
      </c>
      <c r="B6">
        <v>3.2</v>
      </c>
      <c r="C6">
        <v>3.4</v>
      </c>
      <c r="D6">
        <v>3.6</v>
      </c>
    </row>
    <row r="7" spans="1:4" x14ac:dyDescent="0.2">
      <c r="A7" t="s">
        <v>7</v>
      </c>
      <c r="B7">
        <v>802.2</v>
      </c>
      <c r="C7">
        <v>352.5</v>
      </c>
      <c r="D7">
        <v>606.20000000000005</v>
      </c>
    </row>
    <row r="8" spans="1:4" x14ac:dyDescent="0.2">
      <c r="A8" t="s">
        <v>8</v>
      </c>
      <c r="B8">
        <v>39.9</v>
      </c>
      <c r="C8">
        <v>41.9</v>
      </c>
      <c r="D8">
        <v>44</v>
      </c>
    </row>
    <row r="9" spans="1:4" x14ac:dyDescent="0.2">
      <c r="A9" t="s">
        <v>9</v>
      </c>
      <c r="B9">
        <v>2.9</v>
      </c>
      <c r="C9">
        <v>3.1</v>
      </c>
      <c r="D9">
        <v>3.2</v>
      </c>
    </row>
    <row r="10" spans="1:4" x14ac:dyDescent="0.2">
      <c r="A10" t="s">
        <v>10</v>
      </c>
      <c r="B10">
        <v>-18</v>
      </c>
      <c r="C10">
        <v>-18.899999999999999</v>
      </c>
      <c r="D10">
        <v>-19.8</v>
      </c>
    </row>
    <row r="11" spans="1:4" x14ac:dyDescent="0.2">
      <c r="A11" t="s">
        <v>11</v>
      </c>
      <c r="B11">
        <v>21</v>
      </c>
      <c r="C11">
        <v>22.1</v>
      </c>
      <c r="D11">
        <v>23.2</v>
      </c>
    </row>
    <row r="12" spans="1:4" x14ac:dyDescent="0.2">
      <c r="A12" t="s">
        <v>12</v>
      </c>
      <c r="B12">
        <v>-9</v>
      </c>
      <c r="C12">
        <v>0</v>
      </c>
      <c r="D12">
        <v>0</v>
      </c>
    </row>
    <row r="13" spans="1:4" x14ac:dyDescent="0.2">
      <c r="A13" s="1" t="s">
        <v>0</v>
      </c>
      <c r="B13" s="1">
        <f>SUM(Table1[FY 2024 Revenue Actuals])</f>
        <v>866.5</v>
      </c>
      <c r="C13" s="1">
        <f>SUM(Table1[FY 2025 Revenue Estimate])</f>
        <v>429.50000000000006</v>
      </c>
      <c r="D13" s="1">
        <f>SUM(Table1[FY 2026 Revenue Request])</f>
        <v>687.00000000000023</v>
      </c>
    </row>
    <row r="15" spans="1:4" x14ac:dyDescent="0.2">
      <c r="A15" t="s">
        <v>25</v>
      </c>
      <c r="B15" t="s">
        <v>22</v>
      </c>
      <c r="C15" t="s">
        <v>23</v>
      </c>
      <c r="D15" t="s">
        <v>24</v>
      </c>
    </row>
    <row r="16" spans="1:4" x14ac:dyDescent="0.2">
      <c r="A16" t="s">
        <v>13</v>
      </c>
      <c r="B16">
        <v>269.8</v>
      </c>
      <c r="C16">
        <v>349.5</v>
      </c>
      <c r="D16">
        <v>349.5</v>
      </c>
    </row>
    <row r="17" spans="1:4" x14ac:dyDescent="0.2">
      <c r="A17" t="s">
        <v>14</v>
      </c>
      <c r="B17">
        <v>114.7</v>
      </c>
      <c r="C17">
        <v>152.30000000000001</v>
      </c>
      <c r="D17">
        <v>152.30000000000001</v>
      </c>
    </row>
    <row r="18" spans="1:4" x14ac:dyDescent="0.2">
      <c r="A18" t="s">
        <v>15</v>
      </c>
      <c r="B18">
        <v>47.1</v>
      </c>
      <c r="C18">
        <v>33</v>
      </c>
      <c r="D18">
        <v>83.8</v>
      </c>
    </row>
    <row r="19" spans="1:4" x14ac:dyDescent="0.2">
      <c r="A19" t="s">
        <v>16</v>
      </c>
      <c r="B19">
        <v>1</v>
      </c>
      <c r="C19">
        <v>2.8</v>
      </c>
      <c r="D19">
        <v>2.8</v>
      </c>
    </row>
    <row r="20" spans="1:4" x14ac:dyDescent="0.2">
      <c r="A20" t="s">
        <v>17</v>
      </c>
      <c r="B20">
        <v>1.4</v>
      </c>
      <c r="C20">
        <v>12</v>
      </c>
      <c r="D20">
        <v>12</v>
      </c>
    </row>
    <row r="21" spans="1:4" x14ac:dyDescent="0.2">
      <c r="A21" t="s">
        <v>18</v>
      </c>
      <c r="B21">
        <v>98.6</v>
      </c>
      <c r="C21">
        <v>86.1</v>
      </c>
      <c r="D21">
        <v>86.1</v>
      </c>
    </row>
    <row r="22" spans="1:4" x14ac:dyDescent="0.2">
      <c r="A22" t="s">
        <v>19</v>
      </c>
      <c r="B22">
        <v>0.2</v>
      </c>
      <c r="C22">
        <v>0</v>
      </c>
      <c r="D22">
        <v>0</v>
      </c>
    </row>
    <row r="23" spans="1:4" x14ac:dyDescent="0.2">
      <c r="A23" t="s">
        <v>20</v>
      </c>
      <c r="B23">
        <v>5.5</v>
      </c>
      <c r="C23">
        <v>8</v>
      </c>
      <c r="D23">
        <v>8</v>
      </c>
    </row>
    <row r="24" spans="1:4" x14ac:dyDescent="0.2">
      <c r="A24" s="1" t="s">
        <v>21</v>
      </c>
      <c r="B24" s="1">
        <f>SUM(B16:B23)</f>
        <v>538.30000000000007</v>
      </c>
      <c r="C24" s="1">
        <f>SUM(C16:C23)</f>
        <v>643.69999999999993</v>
      </c>
      <c r="D24" s="1">
        <f>SUM(D16:D23)</f>
        <v>694.5</v>
      </c>
    </row>
  </sheetData>
  <pageMargins left="0.7" right="0.7" top="0.75" bottom="0.75" header="0.3" footer="0.3"/>
  <pageSetup orientation="portrait" horizontalDpi="0" verticalDpi="0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f054b8-2951-4354-8f09-4ba958c8808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72A610489C88479CEB098327F1B2DF" ma:contentTypeVersion="8" ma:contentTypeDescription="Create a new document." ma:contentTypeScope="" ma:versionID="a8c65e06c47229ae0c6d03b97c3cde81">
  <xsd:schema xmlns:xsd="http://www.w3.org/2001/XMLSchema" xmlns:xs="http://www.w3.org/2001/XMLSchema" xmlns:p="http://schemas.microsoft.com/office/2006/metadata/properties" xmlns:ns3="eef054b8-2951-4354-8f09-4ba958c8808d" xmlns:ns4="ae8976be-533a-446d-a9ef-87c593848ff3" targetNamespace="http://schemas.microsoft.com/office/2006/metadata/properties" ma:root="true" ma:fieldsID="b3a2eaafb7c701ed316e4b3c8c05f5ac" ns3:_="" ns4:_="">
    <xsd:import namespace="eef054b8-2951-4354-8f09-4ba958c8808d"/>
    <xsd:import namespace="ae8976be-533a-446d-a9ef-87c593848ff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054b8-2951-4354-8f09-4ba958c8808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976be-533a-446d-a9ef-87c593848ff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52D2EF-B943-4327-8DF8-E3BABB3285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B1B5DE-111D-46DB-B3DC-A6A7360853B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ae8976be-533a-446d-a9ef-87c593848ff3"/>
    <ds:schemaRef ds:uri="http://schemas.microsoft.com/office/infopath/2007/PartnerControls"/>
    <ds:schemaRef ds:uri="http://schemas.openxmlformats.org/package/2006/metadata/core-properties"/>
    <ds:schemaRef ds:uri="eef054b8-2951-4354-8f09-4ba958c8808d"/>
  </ds:schemaRefs>
</ds:datastoreItem>
</file>

<file path=customXml/itemProps3.xml><?xml version="1.0" encoding="utf-8"?>
<ds:datastoreItem xmlns:ds="http://schemas.openxmlformats.org/officeDocument/2006/customXml" ds:itemID="{41994420-7ED4-48A3-880A-6562B302C1C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3C77717-1362-4D2F-9147-FA3F586B94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054b8-2951-4354-8f09-4ba958c8808d"/>
    <ds:schemaRef ds:uri="ae8976be-533a-446d-a9ef-87c593848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Slickman, Ravi Ruben - (ravislickman)</dc:creator>
  <cp:lastModifiedBy>Slickman, Ravi Ruben - (ravislickman)</cp:lastModifiedBy>
  <dcterms:created xsi:type="dcterms:W3CDTF">2025-06-16T16:47:53Z</dcterms:created>
  <dcterms:modified xsi:type="dcterms:W3CDTF">2026-05-14T16:31:23Z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0x010100BC72A610489C88479CEB098327F1B2DF</vt:lpwstr>
  </property>
</Properties>
</file>